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urui\Desktop\新建文件夹\data\"/>
    </mc:Choice>
  </mc:AlternateContent>
  <xr:revisionPtr revIDLastSave="0" documentId="13_ncr:1_{958FFDBA-EE7B-4C14-9A0D-D4910A3EAE62}" xr6:coauthVersionLast="47" xr6:coauthVersionMax="47" xr10:uidLastSave="{00000000-0000-0000-0000-000000000000}"/>
  <bookViews>
    <workbookView xWindow="-110" yWindow="-110" windowWidth="25820" windowHeight="15500" xr2:uid="{EAA64163-7C59-48CF-BB78-D21FB23E8F08}"/>
  </bookViews>
  <sheets>
    <sheet name="申请名单" sheetId="1" r:id="rId1"/>
    <sheet name="配送所得表" sheetId="9" r:id="rId2"/>
    <sheet name="日单量" sheetId="2" r:id="rId3"/>
    <sheet name="问题单" sheetId="3" r:id="rId4"/>
    <sheet name="违规索赔" sheetId="4" r:id="rId5"/>
    <sheet name="配送单" sheetId="5" r:id="rId6"/>
    <sheet name="骑手支付绑定" sheetId="6" r:id="rId7"/>
    <sheet name="安全基金" sheetId="7" r:id="rId8"/>
    <sheet name="个税(预扣)" sheetId="8" r:id="rId9"/>
  </sheets>
  <definedNames>
    <definedName name="_xlnm._FilterDatabase" localSheetId="1" hidden="1">配送所得表!$A$3:$AX$5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9" l="1"/>
  <c r="AK4" i="9"/>
  <c r="G4" i="9"/>
  <c r="F4" i="9"/>
  <c r="E4" i="9"/>
  <c r="AP4" i="9"/>
  <c r="AY4" i="9" l="1"/>
  <c r="AX4" i="9"/>
  <c r="AZ4" i="9" s="1"/>
  <c r="AW4" i="9"/>
  <c r="AV4" i="9"/>
  <c r="AT4" i="9"/>
  <c r="AU4" i="9" s="1"/>
  <c r="AS4" i="9"/>
  <c r="AR4" i="9"/>
  <c r="AQ4" i="9"/>
  <c r="AO4" i="9"/>
  <c r="AN4" i="9"/>
  <c r="N4" i="9"/>
  <c r="N5" i="9" s="1"/>
  <c r="M4" i="9"/>
  <c r="M5" i="9" s="1"/>
  <c r="L4" i="9"/>
  <c r="L5" i="9" s="1"/>
  <c r="R4" i="9"/>
  <c r="R5" i="9" s="1"/>
  <c r="Q4" i="9"/>
  <c r="Q5" i="9" s="1"/>
  <c r="P4" i="9"/>
  <c r="P5" i="9" s="1"/>
  <c r="O4" i="9"/>
  <c r="O5" i="9" s="1"/>
  <c r="H4" i="9"/>
  <c r="H5" i="9" s="1"/>
  <c r="F5" i="9"/>
  <c r="E5" i="9"/>
  <c r="AG5" i="9"/>
  <c r="AF5" i="9"/>
  <c r="AB5" i="9"/>
  <c r="Z5" i="9"/>
  <c r="X5" i="9"/>
  <c r="S5" i="9"/>
  <c r="I5" i="9"/>
  <c r="AH4" i="9"/>
  <c r="AH5" i="9" s="1"/>
  <c r="AE5" i="9"/>
  <c r="AD5" i="9"/>
  <c r="AC5" i="9"/>
  <c r="AA5" i="9"/>
  <c r="Y5" i="9"/>
  <c r="W5" i="9"/>
  <c r="V5" i="9"/>
  <c r="K4" i="9" l="1"/>
  <c r="K5" i="9" s="1"/>
  <c r="G5" i="9"/>
  <c r="T4" i="9" l="1"/>
  <c r="T5" i="9" s="1"/>
  <c r="AI4" i="9" l="1"/>
  <c r="AI5" i="9" s="1"/>
  <c r="U4" i="9"/>
  <c r="U5" i="9" s="1"/>
  <c r="BA4" i="9" l="1"/>
</calcChain>
</file>

<file path=xl/sharedStrings.xml><?xml version="1.0" encoding="utf-8"?>
<sst xmlns="http://schemas.openxmlformats.org/spreadsheetml/2006/main" count="71" uniqueCount="65">
  <si>
    <t>xx兼职</t>
    <phoneticPr fontId="6" type="noConversion"/>
  </si>
  <si>
    <t>配送所得</t>
  </si>
  <si>
    <t>平台扣款</t>
  </si>
  <si>
    <t>应结算费用</t>
  </si>
  <si>
    <t>其他费用</t>
  </si>
  <si>
    <t>最终结算费用</t>
  </si>
  <si>
    <t>发薪绑定情况</t>
  </si>
  <si>
    <t>团队ID</t>
  </si>
  <si>
    <t>团队名称</t>
  </si>
  <si>
    <t>骑手ID</t>
  </si>
  <si>
    <t>骑手姓名</t>
  </si>
  <si>
    <t>完成单</t>
    <phoneticPr fontId="6" type="noConversion"/>
  </si>
  <si>
    <t>完成单-不准时</t>
  </si>
  <si>
    <t>总单量</t>
  </si>
  <si>
    <t>不准时单剔除</t>
  </si>
  <si>
    <t>餐损</t>
  </si>
  <si>
    <t>不计提成单</t>
    <phoneticPr fontId="6" type="noConversion"/>
  </si>
  <si>
    <t>安全基金</t>
  </si>
  <si>
    <t>非蜂卡</t>
  </si>
  <si>
    <t>违规扣款</t>
  </si>
  <si>
    <t>投诉</t>
  </si>
  <si>
    <t>违规虚假</t>
  </si>
  <si>
    <t>物流责</t>
  </si>
  <si>
    <t>差评</t>
  </si>
  <si>
    <t>补发</t>
  </si>
  <si>
    <t>应结费用</t>
  </si>
  <si>
    <t>工具费</t>
  </si>
  <si>
    <t>住宿扣款</t>
  </si>
  <si>
    <t>物资扣款</t>
  </si>
  <si>
    <t>装备未绑</t>
  </si>
  <si>
    <t>站点处罚</t>
  </si>
  <si>
    <t>月预支</t>
  </si>
  <si>
    <t>周预支</t>
  </si>
  <si>
    <t>备用金销账</t>
  </si>
  <si>
    <t>电动车扣款</t>
  </si>
  <si>
    <t>电池扣款</t>
    <phoneticPr fontId="6" type="noConversion"/>
  </si>
  <si>
    <t>站点代扣</t>
  </si>
  <si>
    <t>餐费</t>
  </si>
  <si>
    <t>补扣</t>
  </si>
  <si>
    <t>代领费率</t>
  </si>
  <si>
    <t>结算费用（税前）</t>
  </si>
  <si>
    <t>备注</t>
  </si>
  <si>
    <t>薪资方案</t>
  </si>
  <si>
    <t>雷神单价</t>
  </si>
  <si>
    <t>上期单价</t>
  </si>
  <si>
    <t>骑手身份证</t>
  </si>
  <si>
    <t>骑手手机号</t>
  </si>
  <si>
    <t>风神绑定</t>
  </si>
  <si>
    <t>发薪平台绑定</t>
    <phoneticPr fontId="6" type="noConversion"/>
  </si>
  <si>
    <t>绑定情况</t>
  </si>
  <si>
    <t>骑手账户状态</t>
  </si>
  <si>
    <t>收款人ID</t>
  </si>
  <si>
    <t>收款人姓名</t>
  </si>
  <si>
    <t>收款人身份证号码</t>
  </si>
  <si>
    <t>收款人手机号码</t>
    <phoneticPr fontId="6" type="noConversion"/>
  </si>
  <si>
    <t>预扣个税</t>
  </si>
  <si>
    <t>实发费用（税后）</t>
  </si>
  <si>
    <t>合计</t>
  </si>
  <si>
    <t>业务城市</t>
    <phoneticPr fontId="5" type="noConversion"/>
  </si>
  <si>
    <t>开始日期</t>
    <phoneticPr fontId="5" type="noConversion"/>
  </si>
  <si>
    <t>结束日期</t>
    <phoneticPr fontId="5" type="noConversion"/>
  </si>
  <si>
    <t>结算类型</t>
    <phoneticPr fontId="5" type="noConversion"/>
  </si>
  <si>
    <t>防重拦截</t>
    <phoneticPr fontId="5" type="noConversion"/>
  </si>
  <si>
    <t>跨站合并</t>
  </si>
  <si>
    <t>薪资方案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</si>
</sst>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0"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22"/>
      <color theme="0"/>
      <name val="微软雅黑"/>
      <family val="2"/>
      <charset val="134"/>
    </font>
    <font>
      <sz val="9"/>
      <name val="微软雅黑"/>
      <family val="2"/>
      <charset val="134"/>
    </font>
    <font>
      <sz val="9"/>
      <name val="Consolas"/>
      <family val="3"/>
    </font>
    <font>
      <sz val="10"/>
      <color theme="1"/>
      <name val="Consolas"/>
      <family val="3"/>
    </font>
    <font>
      <b/>
      <sz val="10"/>
      <color rgb="FFFF0000"/>
      <name val="微软雅黑"/>
      <family val="2"/>
      <charset val="134"/>
    </font>
    <font>
      <b/>
      <sz val="1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66277047029022"/>
        <bgColor indexed="64"/>
      </patternFill>
    </fill>
    <fill>
      <patternFill patternType="solid">
        <fgColor theme="0" tint="-0.1496017334513382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/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2" applyFont="1" applyAlignment="1">
      <alignment horizontal="center" vertical="center"/>
    </xf>
    <xf numFmtId="176" fontId="8" fillId="3" borderId="1" xfId="1" applyNumberFormat="1" applyFont="1" applyFill="1" applyBorder="1" applyAlignment="1">
      <alignment horizontal="center" vertical="center"/>
    </xf>
    <xf numFmtId="0" fontId="9" fillId="5" borderId="1" xfId="1" applyFont="1" applyFill="1" applyBorder="1" applyAlignment="1">
      <alignment horizontal="center" vertical="center" wrapText="1"/>
    </xf>
    <xf numFmtId="1" fontId="9" fillId="5" borderId="1" xfId="1" applyNumberFormat="1" applyFont="1" applyFill="1" applyBorder="1" applyAlignment="1">
      <alignment horizontal="center" vertical="center" wrapText="1"/>
    </xf>
    <xf numFmtId="0" fontId="9" fillId="6" borderId="1" xfId="1" applyFont="1" applyFill="1" applyBorder="1" applyAlignment="1">
      <alignment horizontal="center" vertical="center" wrapText="1"/>
    </xf>
    <xf numFmtId="176" fontId="9" fillId="7" borderId="1" xfId="1" applyNumberFormat="1" applyFont="1" applyFill="1" applyBorder="1" applyAlignment="1">
      <alignment horizontal="center" vertical="center" wrapText="1"/>
    </xf>
    <xf numFmtId="0" fontId="9" fillId="7" borderId="1" xfId="1" applyFont="1" applyFill="1" applyBorder="1" applyAlignment="1">
      <alignment horizontal="center" vertical="center" wrapText="1"/>
    </xf>
    <xf numFmtId="176" fontId="9" fillId="5" borderId="1" xfId="1" applyNumberFormat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1" fontId="1" fillId="0" borderId="1" xfId="1" applyNumberFormat="1" applyFont="1" applyBorder="1" applyAlignment="1">
      <alignment horizontal="center" vertical="center"/>
    </xf>
    <xf numFmtId="0" fontId="1" fillId="8" borderId="1" xfId="1" applyFont="1" applyFill="1" applyBorder="1" applyAlignment="1">
      <alignment horizontal="center" vertical="center"/>
    </xf>
    <xf numFmtId="1" fontId="1" fillId="8" borderId="1" xfId="1" applyNumberFormat="1" applyFont="1" applyFill="1" applyBorder="1" applyAlignment="1">
      <alignment horizontal="center" vertical="center"/>
    </xf>
    <xf numFmtId="0" fontId="1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1" xfId="4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1" fillId="0" borderId="0" xfId="1" applyNumberFormat="1" applyFont="1" applyAlignment="1">
      <alignment horizontal="center"/>
    </xf>
    <xf numFmtId="5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8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8" fillId="4" borderId="4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 wrapText="1"/>
    </xf>
    <xf numFmtId="176" fontId="8" fillId="3" borderId="1" xfId="1" applyNumberFormat="1" applyFont="1" applyFill="1" applyBorder="1" applyAlignment="1">
      <alignment horizontal="center" vertical="center"/>
    </xf>
  </cellXfs>
  <cellStyles count="5">
    <cellStyle name="常规" xfId="0" builtinId="0"/>
    <cellStyle name="常规 2" xfId="2" xr:uid="{04BA1FB4-1814-48CB-91A1-34922FF96939}"/>
    <cellStyle name="常规 3" xfId="4" xr:uid="{E6F4F413-7EC7-44B8-A7C9-5C1A8244A616}"/>
    <cellStyle name="常规 4 2" xfId="1" xr:uid="{E1FA27E1-C4B3-40F5-9B2E-258AAB2F4809}"/>
    <cellStyle name="常规 5 2" xfId="3" xr:uid="{371B2395-8F4F-4D73-BBC3-1ADF0E8562BB}"/>
  </cellStyles>
  <dxfs count="4"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2951-33FA-46FF-AB63-DCAB393C50C6}">
  <dimension ref="A1:J30"/>
  <sheetViews>
    <sheetView tabSelected="1" workbookViewId="0"/>
  </sheetViews>
  <sheetFormatPr defaultRowHeight="14.5"/>
  <cols>
    <col min="1" max="1" width="7.83203125" style="19" bestFit="1" customWidth="1"/>
    <col min="2" max="2" width="23.58203125" style="19" bestFit="1" customWidth="1"/>
    <col min="3" max="3" width="11.25" style="19" bestFit="1" customWidth="1"/>
    <col min="4" max="4" width="7.83203125" style="19" bestFit="1" customWidth="1"/>
    <col min="5" max="5" width="8.6640625" style="28" bestFit="1" customWidth="1"/>
    <col min="6" max="6" width="9.6640625" style="28" bestFit="1" customWidth="1"/>
    <col min="7" max="7" width="9.6640625" style="19" customWidth="1"/>
    <col min="8" max="10" width="7.83203125" style="19" bestFit="1" customWidth="1"/>
    <col min="11" max="16384" width="8.6640625" style="19"/>
  </cols>
  <sheetData>
    <row r="1" spans="1:10">
      <c r="A1" s="19" t="s">
        <v>58</v>
      </c>
      <c r="B1" s="19" t="s">
        <v>8</v>
      </c>
      <c r="C1" s="19" t="s">
        <v>9</v>
      </c>
      <c r="D1" s="19" t="s">
        <v>10</v>
      </c>
      <c r="E1" s="28" t="s">
        <v>59</v>
      </c>
      <c r="F1" s="28" t="s">
        <v>60</v>
      </c>
      <c r="G1" s="19" t="s">
        <v>64</v>
      </c>
      <c r="H1" s="19" t="s">
        <v>61</v>
      </c>
      <c r="I1" s="19" t="s">
        <v>62</v>
      </c>
      <c r="J1" s="19" t="s">
        <v>63</v>
      </c>
    </row>
    <row r="2" spans="1:10">
      <c r="B2" s="26"/>
      <c r="C2" s="27"/>
      <c r="D2" s="26"/>
      <c r="H2" s="25"/>
    </row>
    <row r="3" spans="1:10">
      <c r="B3" s="26"/>
      <c r="C3" s="27"/>
      <c r="D3" s="26"/>
      <c r="H3" s="25"/>
    </row>
    <row r="4" spans="1:10">
      <c r="B4" s="26"/>
      <c r="C4" s="27"/>
      <c r="D4" s="26"/>
      <c r="H4" s="25"/>
    </row>
    <row r="5" spans="1:10">
      <c r="B5" s="26"/>
      <c r="C5" s="27"/>
      <c r="D5" s="26"/>
      <c r="H5" s="25"/>
    </row>
    <row r="6" spans="1:10">
      <c r="B6" s="26"/>
      <c r="C6" s="27"/>
      <c r="D6" s="26"/>
      <c r="H6" s="25"/>
    </row>
    <row r="7" spans="1:10">
      <c r="B7" s="26"/>
      <c r="C7" s="27"/>
      <c r="D7" s="26"/>
      <c r="H7" s="25"/>
    </row>
    <row r="8" spans="1:10">
      <c r="B8" s="26"/>
      <c r="C8" s="27"/>
      <c r="D8" s="26"/>
      <c r="H8" s="25"/>
    </row>
    <row r="9" spans="1:10">
      <c r="B9" s="26"/>
      <c r="C9" s="27"/>
      <c r="D9" s="26"/>
      <c r="H9" s="25"/>
    </row>
    <row r="10" spans="1:10">
      <c r="B10" s="26"/>
      <c r="C10" s="27"/>
      <c r="D10" s="26"/>
      <c r="H10" s="25"/>
    </row>
    <row r="11" spans="1:10">
      <c r="B11" s="26"/>
      <c r="C11" s="27"/>
      <c r="D11" s="26"/>
      <c r="H11" s="25"/>
    </row>
    <row r="12" spans="1:10">
      <c r="B12" s="26"/>
      <c r="C12" s="27"/>
      <c r="D12" s="26"/>
      <c r="H12" s="25"/>
    </row>
    <row r="13" spans="1:10">
      <c r="B13" s="26"/>
      <c r="C13" s="27"/>
      <c r="D13" s="26"/>
      <c r="H13" s="25"/>
    </row>
    <row r="14" spans="1:10">
      <c r="B14" s="26"/>
      <c r="C14" s="27"/>
      <c r="D14" s="26"/>
      <c r="H14" s="25"/>
    </row>
    <row r="15" spans="1:10">
      <c r="B15" s="26"/>
      <c r="C15" s="27"/>
      <c r="D15" s="26"/>
      <c r="H15" s="25"/>
    </row>
    <row r="16" spans="1:10">
      <c r="B16" s="26"/>
      <c r="C16" s="27"/>
      <c r="D16" s="26"/>
      <c r="H16" s="25"/>
    </row>
    <row r="17" spans="2:8">
      <c r="B17" s="26"/>
      <c r="C17" s="27"/>
      <c r="D17" s="26"/>
      <c r="H17" s="25"/>
    </row>
    <row r="18" spans="2:8">
      <c r="B18" s="26"/>
      <c r="C18" s="27"/>
      <c r="D18" s="26"/>
      <c r="H18" s="25"/>
    </row>
    <row r="19" spans="2:8">
      <c r="B19" s="26"/>
      <c r="C19" s="27"/>
      <c r="D19" s="26"/>
      <c r="H19" s="25"/>
    </row>
    <row r="20" spans="2:8">
      <c r="B20" s="26"/>
      <c r="C20" s="27"/>
      <c r="D20" s="26"/>
      <c r="H20" s="25"/>
    </row>
    <row r="21" spans="2:8">
      <c r="B21" s="26"/>
      <c r="C21" s="27"/>
      <c r="D21" s="26"/>
      <c r="H21" s="25"/>
    </row>
    <row r="22" spans="2:8">
      <c r="B22" s="26"/>
      <c r="C22" s="27"/>
      <c r="D22" s="26"/>
      <c r="H22" s="25"/>
    </row>
    <row r="23" spans="2:8">
      <c r="B23" s="26"/>
      <c r="C23" s="27"/>
      <c r="D23" s="26"/>
      <c r="H23" s="25"/>
    </row>
    <row r="24" spans="2:8">
      <c r="B24" s="26"/>
      <c r="C24" s="27"/>
      <c r="D24" s="26"/>
      <c r="H24" s="25"/>
    </row>
    <row r="25" spans="2:8">
      <c r="B25" s="26"/>
      <c r="C25" s="27"/>
      <c r="D25" s="26"/>
      <c r="H25" s="25"/>
    </row>
    <row r="26" spans="2:8">
      <c r="B26" s="26"/>
      <c r="C26" s="27"/>
      <c r="D26" s="26"/>
      <c r="H26" s="25"/>
    </row>
    <row r="27" spans="2:8">
      <c r="B27" s="26"/>
      <c r="C27" s="27"/>
      <c r="D27" s="26"/>
      <c r="H27" s="25"/>
    </row>
    <row r="28" spans="2:8">
      <c r="B28" s="26"/>
      <c r="C28" s="27"/>
      <c r="D28" s="26"/>
      <c r="H28" s="25"/>
    </row>
    <row r="29" spans="2:8">
      <c r="B29" s="26"/>
      <c r="C29" s="27"/>
      <c r="D29" s="26"/>
      <c r="H29" s="25"/>
    </row>
    <row r="30" spans="2:8">
      <c r="B30" s="26"/>
      <c r="C30" s="27"/>
      <c r="D30" s="26"/>
      <c r="H30" s="25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EC0A-CAC7-43EB-94F9-FE6A05CA8766}">
  <dimension ref="A1:BA36"/>
  <sheetViews>
    <sheetView workbookViewId="0">
      <pane xSplit="7" ySplit="3" topLeftCell="AI4" activePane="bottomRight" state="frozen"/>
      <selection pane="topRight"/>
      <selection pane="bottomLeft"/>
      <selection pane="bottomRight" activeCell="A3" sqref="A3"/>
    </sheetView>
  </sheetViews>
  <sheetFormatPr defaultColWidth="9.33203125" defaultRowHeight="14.5"/>
  <cols>
    <col min="1" max="1" width="11.4140625" style="18" customWidth="1"/>
    <col min="2" max="2" width="21.83203125" style="18" bestFit="1" customWidth="1"/>
    <col min="3" max="3" width="17.1640625" style="24" customWidth="1"/>
    <col min="4" max="4" width="8.4140625" style="18" customWidth="1"/>
    <col min="5" max="5" width="9.4140625" style="18" customWidth="1"/>
    <col min="6" max="6" width="7.1640625" style="18" customWidth="1"/>
    <col min="7" max="7" width="8" style="18" customWidth="1"/>
    <col min="8" max="8" width="7.08203125" style="18" customWidth="1"/>
    <col min="9" max="9" width="5.25" style="18" customWidth="1"/>
    <col min="10" max="10" width="6.6640625" style="18" customWidth="1"/>
    <col min="11" max="11" width="10.25" style="18" customWidth="1"/>
    <col min="12" max="12" width="7.75" style="18" customWidth="1"/>
    <col min="13" max="13" width="6.83203125" style="18" customWidth="1"/>
    <col min="14" max="14" width="8.75" style="18" customWidth="1"/>
    <col min="15" max="15" width="6" style="18" customWidth="1"/>
    <col min="16" max="16" width="8.4140625" style="18" customWidth="1"/>
    <col min="17" max="17" width="6.6640625" style="18" customWidth="1"/>
    <col min="18" max="18" width="6" style="18" customWidth="1"/>
    <col min="19" max="19" width="6.83203125" style="18" bestFit="1" customWidth="1"/>
    <col min="20" max="20" width="11" style="18" customWidth="1"/>
    <col min="21" max="21" width="8.6640625" style="18" bestFit="1" customWidth="1"/>
    <col min="22" max="25" width="8.4140625" style="18" customWidth="1"/>
    <col min="26" max="27" width="6.6640625" style="18" customWidth="1"/>
    <col min="28" max="29" width="10.08203125" style="18" customWidth="1"/>
    <col min="30" max="30" width="8.4140625" style="18" bestFit="1" customWidth="1"/>
    <col min="31" max="31" width="5.5" style="18" customWidth="1"/>
    <col min="32" max="33" width="5" style="18" customWidth="1"/>
    <col min="34" max="34" width="8.4140625" style="18" customWidth="1"/>
    <col min="35" max="35" width="14.5" style="18" customWidth="1"/>
    <col min="36" max="36" width="4.5" style="18" bestFit="1" customWidth="1"/>
    <col min="37" max="37" width="8.4140625" style="18" customWidth="1"/>
    <col min="38" max="38" width="8.6640625" style="18" customWidth="1"/>
    <col min="39" max="39" width="8.4140625" style="18" customWidth="1"/>
    <col min="40" max="40" width="16" style="18" customWidth="1"/>
    <col min="41" max="41" width="10.25" style="18" bestFit="1" customWidth="1"/>
    <col min="42" max="42" width="22" style="18" bestFit="1" customWidth="1"/>
    <col min="43" max="43" width="12.08203125" style="18" customWidth="1"/>
    <col min="44" max="44" width="8.4140625" style="18" customWidth="1"/>
    <col min="45" max="45" width="12.08203125" style="18" bestFit="1" customWidth="1"/>
    <col min="46" max="46" width="22" style="18" bestFit="1" customWidth="1"/>
    <col min="47" max="47" width="12.08203125" style="18" customWidth="1"/>
    <col min="48" max="48" width="17.1640625" style="24" bestFit="1" customWidth="1"/>
    <col min="49" max="49" width="10.25" style="18" customWidth="1"/>
    <col min="50" max="51" width="21.83203125" style="18" customWidth="1"/>
    <col min="52" max="52" width="9.33203125" style="1"/>
    <col min="53" max="53" width="16" style="1" bestFit="1" customWidth="1"/>
    <col min="54" max="16384" width="9.33203125" style="1"/>
  </cols>
  <sheetData>
    <row r="1" spans="1:53" ht="30.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</row>
    <row r="2" spans="1:53" ht="26.25" customHeight="1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5" t="s">
        <v>2</v>
      </c>
      <c r="M2" s="35"/>
      <c r="N2" s="35"/>
      <c r="O2" s="35"/>
      <c r="P2" s="35"/>
      <c r="Q2" s="35"/>
      <c r="R2" s="35"/>
      <c r="S2" s="34" t="s">
        <v>3</v>
      </c>
      <c r="T2" s="34"/>
      <c r="U2" s="34"/>
      <c r="V2" s="36" t="s">
        <v>4</v>
      </c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2"/>
      <c r="AI2" s="36" t="s">
        <v>5</v>
      </c>
      <c r="AJ2" s="36"/>
      <c r="AK2" s="36"/>
      <c r="AL2" s="36"/>
      <c r="AM2" s="36"/>
      <c r="AN2" s="31" t="s">
        <v>6</v>
      </c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3"/>
      <c r="AZ2" s="22"/>
      <c r="BA2" s="22"/>
    </row>
    <row r="3" spans="1:53" ht="30" customHeight="1">
      <c r="A3" s="3" t="s">
        <v>7</v>
      </c>
      <c r="B3" s="3" t="s">
        <v>8</v>
      </c>
      <c r="C3" s="4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5" t="s">
        <v>14</v>
      </c>
      <c r="I3" s="5" t="s">
        <v>15</v>
      </c>
      <c r="J3" s="5" t="s">
        <v>16</v>
      </c>
      <c r="K3" s="3" t="s">
        <v>1</v>
      </c>
      <c r="L3" s="3" t="s">
        <v>17</v>
      </c>
      <c r="M3" s="3" t="s">
        <v>18</v>
      </c>
      <c r="N3" s="3" t="s">
        <v>19</v>
      </c>
      <c r="O3" s="5" t="s">
        <v>20</v>
      </c>
      <c r="P3" s="5" t="s">
        <v>21</v>
      </c>
      <c r="Q3" s="5" t="s">
        <v>22</v>
      </c>
      <c r="R3" s="5" t="s">
        <v>23</v>
      </c>
      <c r="S3" s="3" t="s">
        <v>24</v>
      </c>
      <c r="T3" s="3" t="s">
        <v>25</v>
      </c>
      <c r="U3" s="3" t="s">
        <v>26</v>
      </c>
      <c r="V3" s="6" t="s">
        <v>27</v>
      </c>
      <c r="W3" s="7" t="s">
        <v>28</v>
      </c>
      <c r="X3" s="7" t="s">
        <v>29</v>
      </c>
      <c r="Y3" s="7" t="s">
        <v>30</v>
      </c>
      <c r="Z3" s="7" t="s">
        <v>31</v>
      </c>
      <c r="AA3" s="7" t="s">
        <v>32</v>
      </c>
      <c r="AB3" s="7" t="s">
        <v>33</v>
      </c>
      <c r="AC3" s="7" t="s">
        <v>34</v>
      </c>
      <c r="AD3" s="7" t="s">
        <v>35</v>
      </c>
      <c r="AE3" s="7" t="s">
        <v>36</v>
      </c>
      <c r="AF3" s="7" t="s">
        <v>37</v>
      </c>
      <c r="AG3" s="7" t="s">
        <v>38</v>
      </c>
      <c r="AH3" s="7" t="s">
        <v>39</v>
      </c>
      <c r="AI3" s="8" t="s">
        <v>40</v>
      </c>
      <c r="AJ3" s="3" t="s">
        <v>41</v>
      </c>
      <c r="AK3" s="3" t="s">
        <v>42</v>
      </c>
      <c r="AL3" s="9" t="s">
        <v>43</v>
      </c>
      <c r="AM3" s="9" t="s">
        <v>44</v>
      </c>
      <c r="AN3" s="10" t="s">
        <v>9</v>
      </c>
      <c r="AO3" s="10" t="s">
        <v>10</v>
      </c>
      <c r="AP3" s="10" t="s">
        <v>45</v>
      </c>
      <c r="AQ3" s="10" t="s">
        <v>46</v>
      </c>
      <c r="AR3" s="10" t="s">
        <v>47</v>
      </c>
      <c r="AS3" s="10" t="s">
        <v>48</v>
      </c>
      <c r="AT3" s="10" t="s">
        <v>49</v>
      </c>
      <c r="AU3" s="10" t="s">
        <v>50</v>
      </c>
      <c r="AV3" s="11" t="s">
        <v>51</v>
      </c>
      <c r="AW3" s="10" t="s">
        <v>52</v>
      </c>
      <c r="AX3" s="10" t="s">
        <v>53</v>
      </c>
      <c r="AY3" s="10" t="s">
        <v>54</v>
      </c>
      <c r="AZ3" s="9" t="s">
        <v>55</v>
      </c>
      <c r="BA3" s="9" t="s">
        <v>56</v>
      </c>
    </row>
    <row r="4" spans="1:53">
      <c r="A4" s="23">
        <f>_xlfn.XLOOKUP(B4,配送单!C:C,配送单!B:B)</f>
        <v>0</v>
      </c>
      <c r="B4" s="21"/>
      <c r="C4" s="13"/>
      <c r="D4" s="12"/>
      <c r="E4" s="14">
        <f>COUNTIFS(配送单!C:C,B4,配送单!N:N,"完成单",配送单!D:D,C4,配送单!O:O,"否")</f>
        <v>0</v>
      </c>
      <c r="F4" s="14">
        <f>COUNTIFS(配送单!C:C,B4,配送单!N:N,"完成单-不准时",配送单!D:D,C4,配送单!O:O,"否")</f>
        <v>0</v>
      </c>
      <c r="G4" s="14">
        <f>COUNTIFS(配送单!C:C,B4,配送单!D:D,C4,配送单!O:O,"否")</f>
        <v>0</v>
      </c>
      <c r="H4" s="14">
        <f>COUNTIFS(问题单!A:A,"不准时单",问题单!J:J,"是",问题单!D:D,C4,问题单!F:F,B4)</f>
        <v>0</v>
      </c>
      <c r="I4" s="14"/>
      <c r="J4" s="14"/>
      <c r="K4" s="14" t="e">
        <f>SUM((G4-I4-J4)*AK4,F4*-3,H4*3)</f>
        <v>#N/A</v>
      </c>
      <c r="L4" s="14">
        <f ca="1">-ABS(SUMIFS(安全基金!E:E,安全基金!B:B,C4,安全基金!A:A,B4))</f>
        <v>0</v>
      </c>
      <c r="M4" s="14">
        <f ca="1">-ABS(SUM(SUMIFS(安全基金!F:F,安全基金!B:B,$C:$C,安全基金!A:A,$B:$B),SUMIFS(安全基金!G:G,安全基金!B:B,$C:$C,安全基金!A:A,$B:$B)))</f>
        <v>0</v>
      </c>
      <c r="N4" s="14">
        <f ca="1">SUMIFS(违规索赔!O:O,违规索赔!B:B,配送所得表!B4,违规索赔!C:C,配送所得表!C4,违规索赔!M:M,"&lt;&gt;*是*")</f>
        <v>0</v>
      </c>
      <c r="O4" s="14">
        <f ca="1">-ABS(SUMIFS(问题单!$L:$L, 问题单!$D:$D, C4, 问题单!$A:$A, O$3,问题单!F:F,配送所得表!B4,问题单!J:J,"&lt;&gt;*是*"))</f>
        <v>0</v>
      </c>
      <c r="P4" s="14">
        <f ca="1">-ABS(SUMIFS(问题单!$L:$L, 问题单!$D:$D,C4, 问题单!$A:$A, P$3,问题单!F:F,配送所得表!B4,问题单!J:J,"&lt;&gt;*是*"))</f>
        <v>0</v>
      </c>
      <c r="Q4" s="14">
        <f ca="1">-ABS(SUMIFS(问题单!$L:$L, 问题单!$D:$D, C4, 问题单!$A:$A, Q$3,问题单!F:F,配送所得表!B4,问题单!J:J,"&lt;&gt;*是*"))</f>
        <v>0</v>
      </c>
      <c r="R4" s="14">
        <f ca="1">-ABS(SUMIFS(问题单!$L:$L, 问题单!$D:$D, C4, 问题单!$A:$A, R$3,问题单!F:F,配送所得表!B4,问题单!J:J,"&lt;&gt;*是*"))</f>
        <v>0</v>
      </c>
      <c r="S4" s="14"/>
      <c r="T4" s="14" t="e">
        <f t="shared" ref="T4" si="0">SUM(K4:S4)</f>
        <v>#N/A</v>
      </c>
      <c r="U4" s="14" t="e">
        <f>MIN(0, -ROUND(T4 * IF(AND(AK4&lt;=7, OR(COUNTIF(B4,"*福永*"), COUNTIF(B4,"*桥头*"), COUNTIF(B4,"*新沙*"), COUNTIF(B4,"*新桥*"), COUNTIF(B4,"*松岗*"))), 0, 1) * 5%, 0))</f>
        <v>#N/A</v>
      </c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 t="str">
        <f>IF(COUNTIFS(AJ4,"*代发*"),MIN(0,-ROUND(SUM(T4:AG4)*3%,0)),"")</f>
        <v/>
      </c>
      <c r="AI4" s="14" t="e">
        <f>SUM(T4:AH4)</f>
        <v>#N/A</v>
      </c>
      <c r="AJ4" s="14"/>
      <c r="AK4" s="14" t="e">
        <f>INDEX(申请名单!$A:$J,MATCH($C4,申请名单!$C:$C,0),MATCH(AK$3,申请名单!$1:$1,0))</f>
        <v>#N/A</v>
      </c>
      <c r="AL4" s="14"/>
      <c r="AM4" s="14"/>
      <c r="AN4" s="14" t="e">
        <f>INDEX(骑手支付绑定!$A:$M,MATCH($C4,骑手支付绑定!$C:$C,0),MATCH(配送所得表!AN$3,骑手支付绑定!$1:$1,0))</f>
        <v>#N/A</v>
      </c>
      <c r="AO4" s="14" t="e">
        <f>INDEX(骑手支付绑定!$A:$M,MATCH($C4,骑手支付绑定!$C:$C,0),MATCH(配送所得表!AO$3,骑手支付绑定!$1:$1,0))</f>
        <v>#N/A</v>
      </c>
      <c r="AP4" s="14" t="e">
        <f>INDEX(骑手支付绑定!$A:$M,MATCH($C4,骑手支付绑定!$C:$C,0),MATCH(配送所得表!AP$3,骑手支付绑定!$1:$1,0))</f>
        <v>#N/A</v>
      </c>
      <c r="AQ4" s="14" t="e">
        <f>INDEX(骑手支付绑定!$A:$M,MATCH($C4,骑手支付绑定!$C:$C,0),MATCH(配送所得表!AQ$3,骑手支付绑定!$1:$1,0))</f>
        <v>#N/A</v>
      </c>
      <c r="AR4" s="14" t="e">
        <f>INDEX(骑手支付绑定!$A:$M,MATCH($C4,骑手支付绑定!$C:$C,0),MATCH(配送所得表!AR$3,骑手支付绑定!$1:$1,0))</f>
        <v>#N/A</v>
      </c>
      <c r="AS4" s="14" t="e">
        <f>INDEX(骑手支付绑定!$A:$M,MATCH($C4,骑手支付绑定!$C:$C,0),MATCH(配送所得表!AS$3,骑手支付绑定!$1:$1,0))</f>
        <v>#N/A</v>
      </c>
      <c r="AT4" s="14" t="e">
        <f>INDEX(骑手支付绑定!$A:$M,MATCH($C4,骑手支付绑定!$C:$C,0),MATCH(配送所得表!AT$3,骑手支付绑定!$1:$1,0))</f>
        <v>#N/A</v>
      </c>
      <c r="AU4" s="14" t="str">
        <f>IF(COUNTIFS(配送所得表!AT4,"*代发*"),"黑户","正常")</f>
        <v>正常</v>
      </c>
      <c r="AV4" s="15" t="e">
        <f>INDEX(骑手支付绑定!$A:$M,MATCH($C4,骑手支付绑定!$C:$C,0),MATCH(配送所得表!AV$3,骑手支付绑定!$1:$1,0))</f>
        <v>#N/A</v>
      </c>
      <c r="AW4" s="14" t="e">
        <f>INDEX(骑手支付绑定!$A:$M,MATCH($C4,骑手支付绑定!$C:$C,0),MATCH(配送所得表!AW$3,骑手支付绑定!$1:$1,0))</f>
        <v>#N/A</v>
      </c>
      <c r="AX4" s="14" t="e">
        <f>INDEX(骑手支付绑定!$A:$M,MATCH($C4,骑手支付绑定!$C:$C,0),MATCH(配送所得表!AX$3,骑手支付绑定!$1:$1,0))</f>
        <v>#N/A</v>
      </c>
      <c r="AY4" s="14" t="e">
        <f>INDEX(骑手支付绑定!$A:$M,MATCH($C4,骑手支付绑定!$C:$C,0),MATCH(配送所得表!AY$3,骑手支付绑定!$1:$1,0))</f>
        <v>#N/A</v>
      </c>
      <c r="AZ4" s="12">
        <f>-ABS(IFERROR(_xlfn.XLOOKUP(AX4,'个税(预扣)'!E:E,'个税(预扣)'!K:K),0))</f>
        <v>0</v>
      </c>
      <c r="BA4" s="12" t="e">
        <f>SUM(AI4,AZ4)</f>
        <v>#N/A</v>
      </c>
    </row>
    <row r="5" spans="1:53">
      <c r="A5" s="29" t="s">
        <v>57</v>
      </c>
      <c r="B5" s="29"/>
      <c r="C5" s="29"/>
      <c r="D5" s="16"/>
      <c r="E5" s="16">
        <f ca="1">SUBTOTAL(9,E$4:OFFSET(E$3,ROW()-4,,,))</f>
        <v>0</v>
      </c>
      <c r="F5" s="16">
        <f ca="1">SUBTOTAL(9,F$4:OFFSET(F$3,ROW()-4,,,))</f>
        <v>0</v>
      </c>
      <c r="G5" s="16">
        <f ca="1">SUBTOTAL(9,G$4:OFFSET(G$3,ROW()-4,,,))</f>
        <v>0</v>
      </c>
      <c r="H5" s="16">
        <f ca="1">SUBTOTAL(9,H$4:OFFSET(H$3,ROW()-4,,,))</f>
        <v>0</v>
      </c>
      <c r="I5" s="16">
        <f ca="1">SUBTOTAL(9,I$4:OFFSET(I$3,ROW()-4,,,))</f>
        <v>0</v>
      </c>
      <c r="J5" s="16"/>
      <c r="K5" s="16" t="e">
        <f ca="1">SUBTOTAL(9,K$4:OFFSET(K$3,ROW()-4,,,))</f>
        <v>#N/A</v>
      </c>
      <c r="L5" s="16">
        <f ca="1">SUBTOTAL(9,L$4:OFFSET(L$3,ROW()-4,,,))</f>
        <v>0</v>
      </c>
      <c r="M5" s="16">
        <f ca="1">SUBTOTAL(9,M$4:OFFSET(M$3,ROW()-4,,,))</f>
        <v>0</v>
      </c>
      <c r="N5" s="16">
        <f ca="1">SUBTOTAL(9,N$4:OFFSET(N$3,ROW()-4,,,))</f>
        <v>0</v>
      </c>
      <c r="O5" s="16">
        <f ca="1">SUBTOTAL(9,O$4:OFFSET(O$3,ROW()-4,,,))</f>
        <v>0</v>
      </c>
      <c r="P5" s="16">
        <f ca="1">SUBTOTAL(9,P$4:OFFSET(P$3,ROW()-4,,,))</f>
        <v>0</v>
      </c>
      <c r="Q5" s="16">
        <f ca="1">SUBTOTAL(9,Q$4:OFFSET(Q$3,ROW()-4,,,))</f>
        <v>0</v>
      </c>
      <c r="R5" s="16">
        <f ca="1">SUBTOTAL(9,R$4:OFFSET(R$3,ROW()-4,,,))</f>
        <v>0</v>
      </c>
      <c r="S5" s="16">
        <f ca="1">SUBTOTAL(9,S$4:OFFSET(S$3,ROW()-4,,,))</f>
        <v>0</v>
      </c>
      <c r="T5" s="16" t="e">
        <f ca="1">SUBTOTAL(9,T$4:OFFSET(T$3,ROW()-4,,,))</f>
        <v>#N/A</v>
      </c>
      <c r="U5" s="16" t="e">
        <f ca="1">SUBTOTAL(9,U$4:OFFSET(U$3,ROW()-4,,,))</f>
        <v>#N/A</v>
      </c>
      <c r="V5" s="16">
        <f ca="1">SUBTOTAL(9,V$4:OFFSET(V$3,ROW()-4,,,))</f>
        <v>0</v>
      </c>
      <c r="W5" s="16">
        <f ca="1">SUBTOTAL(9,W$4:OFFSET(W$3,ROW()-4,,,))</f>
        <v>0</v>
      </c>
      <c r="X5" s="16">
        <f ca="1">SUBTOTAL(9,X$4:OFFSET(X$3,ROW()-4,,,))</f>
        <v>0</v>
      </c>
      <c r="Y5" s="16">
        <f ca="1">SUBTOTAL(9,Y$4:OFFSET(Y$3,ROW()-4,,,))</f>
        <v>0</v>
      </c>
      <c r="Z5" s="16">
        <f ca="1">SUBTOTAL(9,Z$4:OFFSET(Z$3,ROW()-4,,,))</f>
        <v>0</v>
      </c>
      <c r="AA5" s="16">
        <f ca="1">SUBTOTAL(9,AA$4:OFFSET(AA$3,ROW()-4,,,))</f>
        <v>0</v>
      </c>
      <c r="AB5" s="16">
        <f ca="1">SUBTOTAL(9,AB$4:OFFSET(AB$3,ROW()-4,,,))</f>
        <v>0</v>
      </c>
      <c r="AC5" s="16">
        <f ca="1">SUBTOTAL(9,AC$4:OFFSET(AC$3,ROW()-4,,,))</f>
        <v>0</v>
      </c>
      <c r="AD5" s="16">
        <f ca="1">SUBTOTAL(9,AD$4:OFFSET(AD$3,ROW()-4,,,))</f>
        <v>0</v>
      </c>
      <c r="AE5" s="16">
        <f ca="1">SUBTOTAL(9,AE$4:OFFSET(AE$3,ROW()-4,,,))</f>
        <v>0</v>
      </c>
      <c r="AF5" s="16">
        <f ca="1">SUBTOTAL(9,AF$4:OFFSET(AF$3,ROW()-4,,,))</f>
        <v>0</v>
      </c>
      <c r="AG5" s="16">
        <f ca="1">SUBTOTAL(9,AG$4:OFFSET(AG$3,ROW()-4,,,))</f>
        <v>0</v>
      </c>
      <c r="AH5" s="16">
        <f ca="1">SUBTOTAL(9,AH$4:OFFSET(AH$3,ROW()-4,,,))</f>
        <v>0</v>
      </c>
      <c r="AI5" s="16" t="e">
        <f ca="1">SUBTOTAL(9,AI$4:OFFSET(AI$3,ROW()-4,,,))</f>
        <v>#N/A</v>
      </c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7"/>
      <c r="AW5" s="16"/>
      <c r="AX5" s="16"/>
      <c r="AY5" s="16"/>
      <c r="AZ5" s="16"/>
      <c r="BA5" s="16"/>
    </row>
    <row r="36" spans="4:4">
      <c r="D36" s="20"/>
    </row>
  </sheetData>
  <mergeCells count="8">
    <mergeCell ref="A5:C5"/>
    <mergeCell ref="A1:BA1"/>
    <mergeCell ref="AN2:AY2"/>
    <mergeCell ref="A2:K2"/>
    <mergeCell ref="L2:R2"/>
    <mergeCell ref="S2:U2"/>
    <mergeCell ref="V2:AG2"/>
    <mergeCell ref="AI2:AM2"/>
  </mergeCells>
  <phoneticPr fontId="5" type="noConversion"/>
  <conditionalFormatting sqref="C2:C4 C6:C1048576">
    <cfRule type="duplicateValues" dxfId="3" priority="2"/>
    <cfRule type="duplicateValues" dxfId="2" priority="3"/>
  </conditionalFormatting>
  <conditionalFormatting sqref="C6:C1048576 C2:C3">
    <cfRule type="duplicateValues" dxfId="1" priority="4"/>
  </conditionalFormatting>
  <conditionalFormatting sqref="AL3:BA3">
    <cfRule type="containsText" dxfId="0" priority="1" operator="containsText" text="流程">
      <formula>NOT(ISERROR(SEARCH("流程",AL3)))</formula>
    </cfRule>
  </conditionalFormatting>
  <pageMargins left="0.7" right="0.7" top="0.75" bottom="0.75" header="0.3" footer="0.3"/>
  <pageSetup paperSize="9" orientation="portrait" horizontalDpi="2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6266F-6368-4D1A-BF4B-8249730EC397}">
  <dimension ref="A1"/>
  <sheetViews>
    <sheetView workbookViewId="0"/>
  </sheetViews>
  <sheetFormatPr defaultRowHeight="14.5"/>
  <cols>
    <col min="1" max="16384" width="8.6640625" style="19"/>
  </cols>
  <sheetData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0BC9-B97D-4402-8BDB-23C16BEEE39C}">
  <dimension ref="A1"/>
  <sheetViews>
    <sheetView workbookViewId="0"/>
  </sheetViews>
  <sheetFormatPr defaultRowHeight="14.5"/>
  <cols>
    <col min="1" max="16384" width="8.6640625" style="19"/>
  </cols>
  <sheetData/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7000A-1605-49EF-9627-50DC3F4DC1C2}">
  <dimension ref="A1"/>
  <sheetViews>
    <sheetView workbookViewId="0"/>
  </sheetViews>
  <sheetFormatPr defaultRowHeight="14.5"/>
  <cols>
    <col min="1" max="16384" width="8.6640625" style="19"/>
  </cols>
  <sheetData/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06C7-44A0-46CE-B413-904805FDE338}">
  <dimension ref="A1"/>
  <sheetViews>
    <sheetView workbookViewId="0"/>
  </sheetViews>
  <sheetFormatPr defaultRowHeight="14.5"/>
  <cols>
    <col min="1" max="16384" width="8.6640625" style="19"/>
  </cols>
  <sheetData/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B8198-F7F9-47CD-B228-E74984DADA26}">
  <dimension ref="A1"/>
  <sheetViews>
    <sheetView workbookViewId="0"/>
  </sheetViews>
  <sheetFormatPr defaultRowHeight="14.5"/>
  <cols>
    <col min="1" max="16384" width="8.6640625" style="19"/>
  </cols>
  <sheetData/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112EC-4B2D-4C46-8C7B-E2016416B8C2}">
  <dimension ref="A1"/>
  <sheetViews>
    <sheetView workbookViewId="0"/>
  </sheetViews>
  <sheetFormatPr defaultRowHeight="14.5"/>
  <cols>
    <col min="1" max="16384" width="8.6640625" style="19"/>
  </cols>
  <sheetData/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D8C7A-40E4-4A95-BF74-014188A74709}">
  <dimension ref="A1"/>
  <sheetViews>
    <sheetView workbookViewId="0"/>
  </sheetViews>
  <sheetFormatPr defaultRowHeight="14.5"/>
  <cols>
    <col min="1" max="16384" width="8.6640625" style="19"/>
  </cols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申请名单</vt:lpstr>
      <vt:lpstr>配送所得表</vt:lpstr>
      <vt:lpstr>日单量</vt:lpstr>
      <vt:lpstr>问题单</vt:lpstr>
      <vt:lpstr>违规索赔</vt:lpstr>
      <vt:lpstr>配送单</vt:lpstr>
      <vt:lpstr>骑手支付绑定</vt:lpstr>
      <vt:lpstr>安全基金</vt:lpstr>
      <vt:lpstr>个税(预扣)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xu</dc:creator>
  <cp:lastModifiedBy>rui xu</cp:lastModifiedBy>
  <dcterms:created xsi:type="dcterms:W3CDTF">2026-06-13T18:25:54Z</dcterms:created>
  <dcterms:modified xsi:type="dcterms:W3CDTF">2026-06-29T14:18:20Z</dcterms:modified>
</cp:coreProperties>
</file>